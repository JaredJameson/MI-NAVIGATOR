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zegląd" sheetId="1" state="visible" r:id="rId1"/>
    <sheet xmlns:r="http://schemas.openxmlformats.org/officeDocument/2006/relationships" name="Dane finansowe" sheetId="2" state="visible" r:id="rId2"/>
    <sheet xmlns:r="http://schemas.openxmlformats.org/officeDocument/2006/relationships" name="Treść raport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#,##0.0&quot; mln PLN&quot;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6DCE5"/>
        <bgColor rgb="00D6DC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Analiza profilu FADO Sp. z o.o.</t>
        </is>
      </c>
    </row>
    <row r="2">
      <c r="A2" t="inlineStr">
        <is>
          <t>Typ raportu: company_profile</t>
        </is>
      </c>
    </row>
    <row r="3">
      <c r="A3" t="inlineStr">
        <is>
          <t>Data utworzenia: 2026-01-14T10:30:00Z</t>
        </is>
      </c>
    </row>
    <row r="4">
      <c r="A4" t="inlineStr">
        <is>
          <t>Firma: FADO Sp. z o.o.</t>
        </is>
      </c>
    </row>
    <row r="5">
      <c r="A5" t="inlineStr"/>
    </row>
    <row r="6">
      <c r="A6" s="2" t="inlineStr">
        <is>
          <t>Podsumowanie:</t>
        </is>
      </c>
    </row>
    <row r="7">
      <c r="A7" t="inlineStr">
        <is>
          <t>Kompleksowa analiza profilu firmy FADO Sp. z o.o. - lidera w produkcji tworzyw sztucznych.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ANALIZA FINANSOWA</t>
        </is>
      </c>
    </row>
    <row r="3">
      <c r="A3" s="3" t="inlineStr">
        <is>
          <t>Trend przychodów (mln PLN)</t>
        </is>
      </c>
    </row>
    <row r="4">
      <c r="A4" s="4" t="inlineStr">
        <is>
          <t>Rok</t>
        </is>
      </c>
      <c r="B4" s="4" t="inlineStr">
        <is>
          <t>Przychody</t>
        </is>
      </c>
      <c r="C4" s="4" t="inlineStr">
        <is>
          <t>Wzrost r/r</t>
        </is>
      </c>
    </row>
    <row r="5">
      <c r="A5" t="n">
        <v>2021</v>
      </c>
      <c r="B5" t="n">
        <v>35.8</v>
      </c>
      <c r="C5" t="inlineStr">
        <is>
          <t>—</t>
        </is>
      </c>
    </row>
    <row r="6">
      <c r="A6" t="n">
        <v>2022</v>
      </c>
      <c r="B6" t="n">
        <v>40.2</v>
      </c>
      <c r="C6" s="5">
        <f>IF(B5&gt;0,(B6-B5)/B5*100,"N/A")</f>
        <v/>
      </c>
    </row>
    <row r="7">
      <c r="A7" t="n">
        <v>2023</v>
      </c>
      <c r="B7" t="n">
        <v>45.2</v>
      </c>
      <c r="C7" s="5">
        <f>IF(B6&gt;0,(B7-B6)/B6*100,"N/A")</f>
        <v/>
      </c>
    </row>
    <row r="9">
      <c r="A9" s="2" t="inlineStr">
        <is>
          <t>Podsumowanie:</t>
        </is>
      </c>
    </row>
    <row r="10">
      <c r="A10" t="inlineStr">
        <is>
          <t>Suma przychodów:</t>
        </is>
      </c>
      <c r="B10" s="6">
        <f>SUM(B5:B7)</f>
        <v/>
      </c>
    </row>
    <row r="11">
      <c r="A11" t="inlineStr">
        <is>
          <t>Średnie przychody:</t>
        </is>
      </c>
      <c r="B11" s="6">
        <f>AVERAGE(B5:B7)</f>
        <v/>
      </c>
    </row>
    <row r="12">
      <c r="A12" t="inlineStr">
        <is>
          <t>Min. przychody:</t>
        </is>
      </c>
      <c r="B12" s="6">
        <f>MIN(B5:B7)</f>
        <v/>
      </c>
    </row>
    <row r="13">
      <c r="A13" t="inlineStr">
        <is>
          <t>Max. przychody:</t>
        </is>
      </c>
      <c r="B13" s="6">
        <f>MAX(B5:B7)</f>
        <v/>
      </c>
    </row>
    <row r="14">
      <c r="A14" t="inlineStr">
        <is>
          <t>CAGR (wzrost skumulowany):</t>
        </is>
      </c>
      <c r="B14" s="5">
        <f>IF(B5&gt;0,((B7/B5)^(1/2)-1)*100,0)</f>
        <v/>
      </c>
    </row>
    <row r="17">
      <c r="A17" s="3" t="inlineStr">
        <is>
          <t>Wskaźniki finansowe</t>
        </is>
      </c>
    </row>
    <row r="18">
      <c r="A18" s="4" t="inlineStr">
        <is>
          <t>Wskaźnik</t>
        </is>
      </c>
      <c r="B18" s="4" t="inlineStr">
        <is>
          <t>Wartość</t>
        </is>
      </c>
      <c r="C18" s="4" t="inlineStr">
        <is>
          <t>Ocena</t>
        </is>
      </c>
    </row>
    <row r="19">
      <c r="A19" t="inlineStr">
        <is>
          <t>ROE (Return on Equity)</t>
        </is>
      </c>
      <c r="B19" s="7" t="n">
        <v>0.182</v>
      </c>
      <c r="C19">
        <f>IF(B19&gt;=0.2,"Bardzo dobry",IF(B19&gt;=0.1,"Dobry","Do poprawy"))</f>
        <v/>
      </c>
    </row>
    <row r="20">
      <c r="A20" t="inlineStr">
        <is>
          <t>ROA (Return on Assets)</t>
        </is>
      </c>
      <c r="B20" s="7" t="n">
        <v>0.094</v>
      </c>
      <c r="C20">
        <f>IF(B20&gt;=0.2,"Bardzo dobry",IF(B20&gt;=0.1,"Dobry","Do poprawy"))</f>
        <v/>
      </c>
    </row>
    <row r="21">
      <c r="A21" t="inlineStr">
        <is>
          <t>Marża brutto</t>
        </is>
      </c>
      <c r="B21" s="7" t="n">
        <v>0.285</v>
      </c>
      <c r="C21">
        <f>IF(B21&gt;=0.2,"Bardzo dobry",IF(B21&gt;=0.1,"Dobry","Do poprawy"))</f>
        <v/>
      </c>
    </row>
    <row r="24">
      <c r="A24" s="3" t="inlineStr">
        <is>
          <t>Prognoza przychodów (założenie: wzrost 10% r/r)</t>
        </is>
      </c>
    </row>
    <row r="25">
      <c r="A25" s="4" t="inlineStr">
        <is>
          <t>Rok</t>
        </is>
      </c>
      <c r="B25" s="4" t="inlineStr">
        <is>
          <t>Prognoza</t>
        </is>
      </c>
    </row>
    <row r="26">
      <c r="A26" t="n">
        <v>2024</v>
      </c>
      <c r="B26" s="6">
        <f>B7*1.1</f>
        <v/>
      </c>
    </row>
    <row r="27">
      <c r="A27" t="n">
        <v>2025</v>
      </c>
      <c r="B27" s="6">
        <f>B26*1.1</f>
        <v/>
      </c>
    </row>
    <row r="28">
      <c r="A28" t="n">
        <v>2026</v>
      </c>
      <c r="B28" s="6">
        <f>B27*1.1</f>
        <v/>
      </c>
    </row>
  </sheetData>
  <mergeCells count="4">
    <mergeCell ref="A17:C17"/>
    <mergeCell ref="A3:C3"/>
    <mergeCell ref="A24:C2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TREŚĆ RAPORTU</t>
        </is>
      </c>
    </row>
    <row r="3">
      <c r="A3" s="8" t="inlineStr">
        <is>
          <t>1. Informacje podstawowe</t>
        </is>
      </c>
    </row>
    <row r="4" ht="20" customHeight="1">
      <c r="A4" t="inlineStr">
        <is>
          <t>FADO Sp. z o.o. to polska firma założona w 1998 roku, specjalizująca się w produkcji wyrobów z tworzyw sztucznych. Firma posiada siedzibę w Warszawie przy ul. Przemysłowej 15.</t>
        </is>
      </c>
    </row>
    <row r="5" ht="20" customHeight="1">
      <c r="A5" t="inlineStr">
        <is>
          <t>**Dane rejestrowe:**</t>
        </is>
      </c>
    </row>
    <row r="6" ht="20" customHeight="1">
      <c r="A6" t="inlineStr">
        <is>
          <t>- NIP: 5260016831</t>
        </is>
      </c>
    </row>
    <row r="7" ht="20" customHeight="1">
      <c r="A7" t="inlineStr">
        <is>
          <t>- REGON: 012567834</t>
        </is>
      </c>
    </row>
    <row r="8" ht="20" customHeight="1">
      <c r="A8" t="inlineStr">
        <is>
          <t>- KRS: 0000145732</t>
        </is>
      </c>
    </row>
    <row r="9" ht="20" customHeight="1">
      <c r="A9" t="inlineStr">
        <is>
          <t>- Forma prawna: Spółka z ograniczoną odpowiedzialnością</t>
        </is>
      </c>
    </row>
    <row r="10" ht="20" customHeight="1">
      <c r="A10" t="inlineStr">
        <is>
          <t>**Główna działalność (PKD):**</t>
        </is>
      </c>
    </row>
    <row r="11" ht="20" customHeight="1">
      <c r="A11" t="inlineStr">
        <is>
          <t>- 22.21.Z - Produkcja płyt, arkuszy, rur i kształtowników z tworzyw sztucznych</t>
        </is>
      </c>
    </row>
    <row r="12" ht="20" customHeight="1">
      <c r="A12" t="inlineStr">
        <is>
          <t>- 22.22.Z - Produkcja opakowań z tworzyw sztucznych</t>
        </is>
      </c>
    </row>
    <row r="13" ht="20" customHeight="1">
      <c r="A13" t="inlineStr">
        <is>
          <t>- 22.29.Z - Produkcja pozostałych wyrobów z tworzyw sztucznych</t>
        </is>
      </c>
    </row>
    <row r="14" ht="20" customHeight="1">
      <c r="A14" t="inlineStr">
        <is>
          <t>Firma zatrudnia około 150 pracowników i posiada nowoczesny park maszynowy o łącznej mocy produkcyjnej 5000 ton rocznie.</t>
        </is>
      </c>
    </row>
    <row r="16">
      <c r="A16" s="8" t="inlineStr">
        <is>
          <t>2. Analiza finansowa</t>
        </is>
      </c>
    </row>
    <row r="17" ht="20" customHeight="1">
      <c r="A17" t="inlineStr">
        <is>
          <t>**Przychody i rentowność (2023):**</t>
        </is>
      </c>
    </row>
    <row r="18" ht="20" customHeight="1">
      <c r="A18" t="inlineStr">
        <is>
          <t>- Przychody ze sprzedaży: 45,2 mln PLN</t>
        </is>
      </c>
    </row>
    <row r="19" ht="20" customHeight="1">
      <c r="A19" t="inlineStr">
        <is>
          <t>- Wzrost r/r: +12,3%</t>
        </is>
      </c>
    </row>
    <row r="20" ht="20" customHeight="1">
      <c r="A20" t="inlineStr">
        <is>
          <t>- Marża brutto: 28,5%</t>
        </is>
      </c>
    </row>
    <row r="21" ht="20" customHeight="1">
      <c r="A21" t="inlineStr">
        <is>
          <t>- Zysk netto: 4,8 mln PLN</t>
        </is>
      </c>
    </row>
    <row r="22" ht="20" customHeight="1">
      <c r="A22" t="inlineStr">
        <is>
          <t>**Wskaźniki finansowe:**</t>
        </is>
      </c>
    </row>
    <row r="23" ht="20" customHeight="1">
      <c r="A23" t="inlineStr">
        <is>
          <t>- ROE (Return on Equity): 18,2%</t>
        </is>
      </c>
    </row>
    <row r="24" ht="20" customHeight="1">
      <c r="A24" t="inlineStr">
        <is>
          <t>- ROA (Return on Assets): 9,4%</t>
        </is>
      </c>
    </row>
    <row r="25" ht="20" customHeight="1">
      <c r="A25" t="inlineStr">
        <is>
          <t>- Wskaźnik płynności bieżącej: 2,1</t>
        </is>
      </c>
    </row>
    <row r="26" ht="20" customHeight="1">
      <c r="A26" t="inlineStr">
        <is>
          <t>- Wskaźnik zadłużenia: 32%</t>
        </is>
      </c>
    </row>
    <row r="27" ht="20" customHeight="1">
      <c r="A27" t="inlineStr">
        <is>
          <t>**Trend przychodów (mln PLN):**</t>
        </is>
      </c>
    </row>
    <row r="28" ht="20" customHeight="1">
      <c r="A28" t="inlineStr">
        <is>
          <t>- 2021: 35,8 mln PLN</t>
        </is>
      </c>
    </row>
    <row r="29" ht="20" customHeight="1">
      <c r="A29" t="inlineStr">
        <is>
          <t>- 2022: 40,2 mln PLN</t>
        </is>
      </c>
    </row>
    <row r="30" ht="20" customHeight="1">
      <c r="A30" t="inlineStr">
        <is>
          <t>- 2023: 45,2 mln PLN</t>
        </is>
      </c>
    </row>
    <row r="31" ht="20" customHeight="1">
      <c r="A31" t="inlineStr">
        <is>
          <t>Firma wykazuje stabilny wzrost przychodów na poziomie 10-15% rocznie. Marża brutto utrzymuje się na poziomie konkurencyjnym dla branży.</t>
        </is>
      </c>
    </row>
    <row r="33">
      <c r="A33" s="8" t="inlineStr">
        <is>
          <t>3. Pozycja rynkowa</t>
        </is>
      </c>
    </row>
    <row r="34" ht="20" customHeight="1">
      <c r="A34" t="inlineStr">
        <is>
          <t>**Udział w rynku:**</t>
        </is>
      </c>
    </row>
    <row r="35" ht="20" customHeight="1">
      <c r="A35" t="inlineStr">
        <is>
          <t>FADO zajmuje pozycję wśród Top 10 producentów tworzyw sztucznych w Polsce, z szacowanym udziałem w rynku na poziomie 3,5%.</t>
        </is>
      </c>
    </row>
    <row r="36" ht="20" customHeight="1">
      <c r="A36" t="inlineStr">
        <is>
          <t>**Główni konkurenci:**</t>
        </is>
      </c>
    </row>
    <row r="37" ht="20" customHeight="1">
      <c r="A37" t="inlineStr">
        <is>
          <t>1. Splast S.A. - lider rynku z udziałem 8%</t>
        </is>
      </c>
    </row>
    <row r="38" ht="20" customHeight="1">
      <c r="A38" t="inlineStr">
        <is>
          <t>2. PlastPak Sp. z o.o. - 4,2% rynku</t>
        </is>
      </c>
    </row>
    <row r="39" ht="20" customHeight="1">
      <c r="A39" t="inlineStr">
        <is>
          <t>3. PolyTech Sp. z o.o. - 3,8% rynku</t>
        </is>
      </c>
    </row>
    <row r="40" ht="20" customHeight="1">
      <c r="A40" t="inlineStr">
        <is>
          <t>**Przewagi konkurencyjne:**</t>
        </is>
      </c>
    </row>
    <row r="41" ht="20" customHeight="1">
      <c r="A41" t="inlineStr">
        <is>
          <t>- Nowoczesny park maszynowy</t>
        </is>
      </c>
    </row>
    <row r="42" ht="20" customHeight="1">
      <c r="A42" t="inlineStr">
        <is>
          <t>- Certyfikaty jakości ISO 9001 i ISO 14001</t>
        </is>
      </c>
    </row>
    <row r="43" ht="20" customHeight="1">
      <c r="A43" t="inlineStr">
        <is>
          <t>- Elastyczność w realizacji zamówień</t>
        </is>
      </c>
    </row>
    <row r="44" ht="20" customHeight="1">
      <c r="A44" t="inlineStr">
        <is>
          <t>- Własne centrum R&amp;D</t>
        </is>
      </c>
    </row>
    <row r="45" ht="20" customHeight="1">
      <c r="A45" t="inlineStr">
        <is>
          <t>**Wyzwania:**</t>
        </is>
      </c>
    </row>
    <row r="46" ht="20" customHeight="1">
      <c r="A46" t="inlineStr">
        <is>
          <t>- Rosnące ceny surowców</t>
        </is>
      </c>
    </row>
    <row r="47" ht="20" customHeight="1">
      <c r="A47" t="inlineStr">
        <is>
          <t>- Presja regulacyjna na plastik</t>
        </is>
      </c>
    </row>
    <row r="48" ht="20" customHeight="1">
      <c r="A48" t="inlineStr">
        <is>
          <t>- Konkurencja ze strony importu z Azji</t>
        </is>
      </c>
    </row>
    <row r="50">
      <c r="A50" s="8" t="inlineStr">
        <is>
          <t>4. Analiza SWOT</t>
        </is>
      </c>
    </row>
    <row r="51" ht="20" customHeight="1">
      <c r="A51" t="inlineStr">
        <is>
          <t>**Mocne strony (Strengths):**</t>
        </is>
      </c>
    </row>
    <row r="52" ht="20" customHeight="1">
      <c r="A52" t="inlineStr">
        <is>
          <t>- Doświadczenie 25+ lat na rynku</t>
        </is>
      </c>
    </row>
    <row r="53" ht="20" customHeight="1">
      <c r="A53" t="inlineStr">
        <is>
          <t>- Wykwalifikowana kadra</t>
        </is>
      </c>
    </row>
    <row r="54" ht="20" customHeight="1">
      <c r="A54" t="inlineStr">
        <is>
          <t>- Nowoczesna infrastruktura</t>
        </is>
      </c>
    </row>
    <row r="55" ht="20" customHeight="1">
      <c r="A55" t="inlineStr">
        <is>
          <t>- Certyfikaty jakości</t>
        </is>
      </c>
    </row>
    <row r="56" ht="20" customHeight="1">
      <c r="A56" t="inlineStr">
        <is>
          <t>- Stabilna baza klientów</t>
        </is>
      </c>
    </row>
    <row r="57" ht="20" customHeight="1">
      <c r="A57" t="inlineStr">
        <is>
          <t>**Słabe strony (Weaknesses):**</t>
        </is>
      </c>
    </row>
    <row r="58" ht="20" customHeight="1">
      <c r="A58" t="inlineStr">
        <is>
          <t>- Koncentracja na rynku polskim</t>
        </is>
      </c>
    </row>
    <row r="59" ht="20" customHeight="1">
      <c r="A59" t="inlineStr">
        <is>
          <t>- Zależność od kilku głównych dostawców</t>
        </is>
      </c>
    </row>
    <row r="60" ht="20" customHeight="1">
      <c r="A60" t="inlineStr">
        <is>
          <t>- Brak własnej sieci dystrybucji</t>
        </is>
      </c>
    </row>
    <row r="61" ht="20" customHeight="1">
      <c r="A61" t="inlineStr">
        <is>
          <t>**Szanse (Opportunities):**</t>
        </is>
      </c>
    </row>
    <row r="62" ht="20" customHeight="1">
      <c r="A62" t="inlineStr">
        <is>
          <t>- Rozwój rynku opakowań biodegradowalnych</t>
        </is>
      </c>
    </row>
    <row r="63" ht="20" customHeight="1">
      <c r="A63" t="inlineStr">
        <is>
          <t>- Ekspansja na rynki CEE</t>
        </is>
      </c>
    </row>
    <row r="64" ht="20" customHeight="1">
      <c r="A64" t="inlineStr">
        <is>
          <t>- Rosnący popyt na plastik recyklingowy</t>
        </is>
      </c>
    </row>
    <row r="65" ht="20" customHeight="1">
      <c r="A65" t="inlineStr">
        <is>
          <t>- Digitalizacja procesów produkcyjnych</t>
        </is>
      </c>
    </row>
    <row r="66" ht="20" customHeight="1">
      <c r="A66" t="inlineStr">
        <is>
          <t>**Zagrożenia (Threats):**</t>
        </is>
      </c>
    </row>
    <row r="67" ht="20" customHeight="1">
      <c r="A67" t="inlineStr">
        <is>
          <t>- Regulacje antyplastikowe EU</t>
        </is>
      </c>
    </row>
    <row r="68" ht="20" customHeight="1">
      <c r="A68" t="inlineStr">
        <is>
          <t>- Wahania cen ropy naftowej</t>
        </is>
      </c>
    </row>
    <row r="69" ht="20" customHeight="1">
      <c r="A69" t="inlineStr">
        <is>
          <t>- Konkurencja z krajów o niższych kosztach pracy</t>
        </is>
      </c>
    </row>
    <row r="70" ht="20" customHeight="1">
      <c r="A70" t="inlineStr">
        <is>
          <t>- Spowolnienie gospodarcze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2026-01-15T21:21:32Z</dcterms:created>
  <dcterms:modified xmlns:dcterms="http://purl.org/dc/terms/" xmlns:xsi="http://www.w3.org/2001/XMLSchema-instance" xsi:type="dcterms:W3CDTF">2026-01-15T21:21:32Z</dcterms:modified>
</cp:coreProperties>
</file>